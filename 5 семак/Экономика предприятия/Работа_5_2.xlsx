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41" i="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C41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C42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C39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C38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C22"/>
  <c r="C23" s="1"/>
  <c r="C21"/>
  <c r="C20"/>
  <c r="G19"/>
  <c r="V19"/>
  <c r="C19"/>
  <c r="C33"/>
  <c r="B12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D26"/>
  <c r="E26"/>
  <c r="F26"/>
  <c r="G26"/>
  <c r="H26"/>
  <c r="I26"/>
  <c r="J26"/>
  <c r="K26"/>
  <c r="L26"/>
  <c r="C26"/>
  <c r="C28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C24"/>
  <c r="C35" l="1"/>
  <c r="G21"/>
  <c r="H21" s="1"/>
  <c r="I21" s="1"/>
  <c r="J21" s="1"/>
  <c r="K21" s="1"/>
  <c r="L21" s="1"/>
  <c r="M21" s="1"/>
  <c r="N21" s="1"/>
  <c r="O21" s="1"/>
  <c r="P21" s="1"/>
  <c r="Q21" s="1"/>
  <c r="R21" s="1"/>
  <c r="S21" s="1"/>
  <c r="F21"/>
  <c r="I20"/>
  <c r="H20"/>
  <c r="G20"/>
  <c r="G23" s="1"/>
  <c r="G25" s="1"/>
  <c r="G30" s="1"/>
  <c r="F20"/>
  <c r="E20" s="1"/>
  <c r="I19"/>
  <c r="H19"/>
  <c r="B18"/>
  <c r="B17"/>
  <c r="B16"/>
  <c r="D15"/>
  <c r="E15" s="1"/>
  <c r="F15" s="1"/>
  <c r="G15" s="1"/>
  <c r="H15" s="1"/>
  <c r="I15" s="1"/>
  <c r="J15" s="1"/>
  <c r="C15"/>
  <c r="B11"/>
  <c r="B10"/>
  <c r="B9"/>
  <c r="F19" s="1"/>
  <c r="G32" l="1"/>
  <c r="G31" s="1"/>
  <c r="G37"/>
  <c r="F23"/>
  <c r="F25" s="1"/>
  <c r="F30" s="1"/>
  <c r="C25"/>
  <c r="C30" s="1"/>
  <c r="D19"/>
  <c r="E19"/>
  <c r="E23" s="1"/>
  <c r="E25" s="1"/>
  <c r="E30" s="1"/>
  <c r="U21"/>
  <c r="T21"/>
  <c r="V21"/>
  <c r="J19"/>
  <c r="J23" s="1"/>
  <c r="J25" s="1"/>
  <c r="J30" s="1"/>
  <c r="K15"/>
  <c r="I23"/>
  <c r="I25" s="1"/>
  <c r="I30" s="1"/>
  <c r="H23"/>
  <c r="H25" s="1"/>
  <c r="H30" s="1"/>
  <c r="E21"/>
  <c r="D20"/>
  <c r="J20"/>
  <c r="K20" s="1"/>
  <c r="L20" s="1"/>
  <c r="M20" s="1"/>
  <c r="N20" s="1"/>
  <c r="O20" s="1"/>
  <c r="P20" s="1"/>
  <c r="Q20" s="1"/>
  <c r="R20" s="1"/>
  <c r="S20" s="1"/>
  <c r="T20" s="1"/>
  <c r="U20" s="1"/>
  <c r="V20" s="1"/>
  <c r="D21"/>
  <c r="F32" l="1"/>
  <c r="F31" s="1"/>
  <c r="F37" s="1"/>
  <c r="J32"/>
  <c r="J31" s="1"/>
  <c r="J37" s="1"/>
  <c r="I32"/>
  <c r="I31" s="1"/>
  <c r="I37" s="1"/>
  <c r="E32"/>
  <c r="E31" s="1"/>
  <c r="E37" s="1"/>
  <c r="H32"/>
  <c r="H31" s="1"/>
  <c r="H37" s="1"/>
  <c r="C32"/>
  <c r="C31" s="1"/>
  <c r="C37" s="1"/>
  <c r="K19"/>
  <c r="K23" s="1"/>
  <c r="K25" s="1"/>
  <c r="K30" s="1"/>
  <c r="L15"/>
  <c r="D23"/>
  <c r="D25" s="1"/>
  <c r="D30" s="1"/>
  <c r="D32" l="1"/>
  <c r="D31" s="1"/>
  <c r="D37"/>
  <c r="K32"/>
  <c r="K31" s="1"/>
  <c r="K37" s="1"/>
  <c r="M15"/>
  <c r="L19"/>
  <c r="L23" s="1"/>
  <c r="L25" s="1"/>
  <c r="L30" s="1"/>
  <c r="L32" l="1"/>
  <c r="L31" s="1"/>
  <c r="L37" s="1"/>
  <c r="M19"/>
  <c r="M23" s="1"/>
  <c r="M25" s="1"/>
  <c r="M30" s="1"/>
  <c r="N15"/>
  <c r="M32" l="1"/>
  <c r="M31" s="1"/>
  <c r="M37"/>
  <c r="N19"/>
  <c r="N23" s="1"/>
  <c r="N25" s="1"/>
  <c r="N30" s="1"/>
  <c r="O15"/>
  <c r="N32" l="1"/>
  <c r="N31" s="1"/>
  <c r="N37"/>
  <c r="O19"/>
  <c r="O23" s="1"/>
  <c r="O25" s="1"/>
  <c r="O30" s="1"/>
  <c r="P15"/>
  <c r="O32" l="1"/>
  <c r="O31" s="1"/>
  <c r="O37"/>
  <c r="Q15"/>
  <c r="P19"/>
  <c r="P23" s="1"/>
  <c r="P25" s="1"/>
  <c r="P30" s="1"/>
  <c r="P32" l="1"/>
  <c r="P31" s="1"/>
  <c r="P37"/>
  <c r="R15"/>
  <c r="Q19"/>
  <c r="Q23" s="1"/>
  <c r="Q25" s="1"/>
  <c r="Q30" s="1"/>
  <c r="Q32" l="1"/>
  <c r="Q31" s="1"/>
  <c r="Q37"/>
  <c r="R19"/>
  <c r="R23" s="1"/>
  <c r="R25" s="1"/>
  <c r="R30" s="1"/>
  <c r="S15"/>
  <c r="R32" l="1"/>
  <c r="R31" s="1"/>
  <c r="R37" s="1"/>
  <c r="S19"/>
  <c r="T15"/>
  <c r="U15" s="1"/>
  <c r="V15" s="1"/>
  <c r="T19" l="1"/>
  <c r="T23" s="1"/>
  <c r="T25" s="1"/>
  <c r="T30" s="1"/>
  <c r="U19"/>
  <c r="U23" s="1"/>
  <c r="U25" s="1"/>
  <c r="U30" s="1"/>
  <c r="V23"/>
  <c r="V25" s="1"/>
  <c r="V30" s="1"/>
  <c r="S23"/>
  <c r="S25" s="1"/>
  <c r="S30" s="1"/>
  <c r="U32" l="1"/>
  <c r="U31" s="1"/>
  <c r="U37"/>
  <c r="V32"/>
  <c r="V31" s="1"/>
  <c r="V37" s="1"/>
  <c r="S32"/>
  <c r="S31" s="1"/>
  <c r="S37" s="1"/>
  <c r="T32"/>
  <c r="T31" s="1"/>
  <c r="T37" s="1"/>
</calcChain>
</file>

<file path=xl/sharedStrings.xml><?xml version="1.0" encoding="utf-8"?>
<sst xmlns="http://schemas.openxmlformats.org/spreadsheetml/2006/main" count="58" uniqueCount="58">
  <si>
    <t>расчет показателей эффективности проекта</t>
  </si>
  <si>
    <t>исходные данные:</t>
  </si>
  <si>
    <t>показатель</t>
  </si>
  <si>
    <t>значение</t>
  </si>
  <si>
    <t>кап. Вложения</t>
  </si>
  <si>
    <t>займы</t>
  </si>
  <si>
    <t>выручка</t>
  </si>
  <si>
    <t>мат затраты</t>
  </si>
  <si>
    <t>затраты на ФОТ</t>
  </si>
  <si>
    <t>прочие затраты</t>
  </si>
  <si>
    <t>год</t>
  </si>
  <si>
    <t>Е = кап вл - займы больше 0</t>
  </si>
  <si>
    <t>IC, млн. руб</t>
  </si>
  <si>
    <t>TL, млн.руб</t>
  </si>
  <si>
    <t>Е, млн.руб</t>
  </si>
  <si>
    <t>Инфляция 7%</t>
  </si>
  <si>
    <t>Rev, млн.руб</t>
  </si>
  <si>
    <t>С мат, млн руб</t>
  </si>
  <si>
    <t>С фот, млн.руб</t>
  </si>
  <si>
    <t>С прочие, млн руб</t>
  </si>
  <si>
    <t>EBITDA</t>
  </si>
  <si>
    <t>прибыль до вычета налога, кредита, амортизации</t>
  </si>
  <si>
    <t>Амортизация</t>
  </si>
  <si>
    <t>С ПР_1</t>
  </si>
  <si>
    <t>EBIT</t>
  </si>
  <si>
    <t>I (Отчисления по процентной ставке)</t>
  </si>
  <si>
    <t>I=TL*Ki</t>
  </si>
  <si>
    <t>Ki - коэф аннуитета</t>
  </si>
  <si>
    <t>Ki</t>
  </si>
  <si>
    <t>Ki = (i(1+i)^m)/((1+i)^m-1)</t>
  </si>
  <si>
    <t>m - срок кредитного договора</t>
  </si>
  <si>
    <t>m (Срок кредитного договора), лет</t>
  </si>
  <si>
    <t>i (Ставка)</t>
  </si>
  <si>
    <t>EBT (Прибыль до вычита налогов)</t>
  </si>
  <si>
    <t>EBT = EBIT - I</t>
  </si>
  <si>
    <t>TAX</t>
  </si>
  <si>
    <t>TAX = HП + НДС + НДПИ</t>
  </si>
  <si>
    <t>НП (Налог на прибыль)</t>
  </si>
  <si>
    <t>НДПИ (Налог на добычу полезных иск)</t>
  </si>
  <si>
    <t>4% от REV</t>
  </si>
  <si>
    <t>СН (Ставка налога на прибыль)</t>
  </si>
  <si>
    <t>НП = СН*(EBT-НДПИ)</t>
  </si>
  <si>
    <t>НДС</t>
  </si>
  <si>
    <t>СН[НДС] (Ставка налога НДС)</t>
  </si>
  <si>
    <t>НДС = СН[НДС]*(Rev-Cмат)</t>
  </si>
  <si>
    <t>Nin</t>
  </si>
  <si>
    <t>Nin = EBT - TAX</t>
  </si>
  <si>
    <t>ROS = EBIT/Rev *100%</t>
  </si>
  <si>
    <t>ROS (Рентабельность продаж)</t>
  </si>
  <si>
    <t>ROE ( Рентабельность собственного капитала)</t>
  </si>
  <si>
    <t>ROE = (Nin/E)*100%</t>
  </si>
  <si>
    <t>ROL (Рентабельность персонала)</t>
  </si>
  <si>
    <t>ROL=(Nin/Cфот)*100%</t>
  </si>
  <si>
    <t>ROM=(Nin/C0)*100%</t>
  </si>
  <si>
    <t>C0 = Cмат + Сфот +Спр+А0+НДФЛ</t>
  </si>
  <si>
    <t>С0</t>
  </si>
  <si>
    <t>ROM(Рентабельность продукции)</t>
  </si>
  <si>
    <t>NPV</t>
  </si>
</sst>
</file>

<file path=xl/styles.xml><?xml version="1.0" encoding="utf-8"?>
<styleSheet xmlns="http://schemas.openxmlformats.org/spreadsheetml/2006/main">
  <numFmts count="1">
    <numFmt numFmtId="165" formatCode="0.000"/>
  </numFmts>
  <fonts count="3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topLeftCell="A16" zoomScale="70" zoomScaleNormal="70" workbookViewId="0">
      <selection activeCell="A44" sqref="A44"/>
    </sheetView>
  </sheetViews>
  <sheetFormatPr defaultColWidth="11.7109375" defaultRowHeight="18.75"/>
  <cols>
    <col min="1" max="1" width="45.5703125" style="1" customWidth="1"/>
    <col min="2" max="2" width="33.7109375" style="1" customWidth="1"/>
    <col min="3" max="3" width="18.42578125" style="1" customWidth="1"/>
    <col min="4" max="16384" width="11.7109375" style="1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4" spans="1:24">
      <c r="A4" s="3" t="s">
        <v>1</v>
      </c>
      <c r="B4" s="3"/>
    </row>
    <row r="6" spans="1:24">
      <c r="A6" s="4" t="s">
        <v>2</v>
      </c>
      <c r="B6" s="4" t="s">
        <v>3</v>
      </c>
    </row>
    <row r="7" spans="1:24">
      <c r="A7" s="4" t="s">
        <v>4</v>
      </c>
      <c r="B7" s="4">
        <v>1226</v>
      </c>
    </row>
    <row r="8" spans="1:24">
      <c r="A8" s="4" t="s">
        <v>5</v>
      </c>
      <c r="B8" s="4">
        <v>245.2</v>
      </c>
    </row>
    <row r="9" spans="1:24">
      <c r="A9" s="4" t="s">
        <v>6</v>
      </c>
      <c r="B9" s="4">
        <f>2491100000/1000000</f>
        <v>2491.1</v>
      </c>
    </row>
    <row r="10" spans="1:24">
      <c r="A10" s="4" t="s">
        <v>7</v>
      </c>
      <c r="B10" s="4">
        <f>1012774322/1000000</f>
        <v>1012.774322</v>
      </c>
    </row>
    <row r="11" spans="1:24">
      <c r="A11" s="4" t="s">
        <v>8</v>
      </c>
      <c r="B11" s="4">
        <f>336462.8377/1000</f>
        <v>336.46283769999997</v>
      </c>
    </row>
    <row r="12" spans="1:24">
      <c r="A12" s="4" t="s">
        <v>9</v>
      </c>
      <c r="B12" s="4">
        <f>867660.09/1000000</f>
        <v>0.86766008999999999</v>
      </c>
    </row>
    <row r="14" spans="1:24">
      <c r="A14" s="7"/>
      <c r="B14" s="7"/>
      <c r="C14" s="7">
        <v>0.25</v>
      </c>
      <c r="D14" s="7">
        <v>0.5</v>
      </c>
      <c r="E14" s="7">
        <v>0.75</v>
      </c>
      <c r="F14" s="7">
        <v>2024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0.75</v>
      </c>
      <c r="U14" s="7">
        <v>0.5</v>
      </c>
      <c r="V14" s="7">
        <v>0.25</v>
      </c>
    </row>
    <row r="15" spans="1:24">
      <c r="A15" s="6" t="s">
        <v>10</v>
      </c>
      <c r="B15" s="6">
        <v>0</v>
      </c>
      <c r="C15" s="6">
        <f>B15+1</f>
        <v>1</v>
      </c>
      <c r="D15" s="6">
        <f t="shared" ref="D15:U15" si="0">C15+1</f>
        <v>2</v>
      </c>
      <c r="E15" s="6">
        <f t="shared" si="0"/>
        <v>3</v>
      </c>
      <c r="F15" s="6">
        <f t="shared" si="0"/>
        <v>4</v>
      </c>
      <c r="G15" s="6">
        <f t="shared" si="0"/>
        <v>5</v>
      </c>
      <c r="H15" s="6">
        <f t="shared" si="0"/>
        <v>6</v>
      </c>
      <c r="I15" s="6">
        <f t="shared" si="0"/>
        <v>7</v>
      </c>
      <c r="J15" s="6">
        <f t="shared" si="0"/>
        <v>8</v>
      </c>
      <c r="K15" s="6">
        <f t="shared" si="0"/>
        <v>9</v>
      </c>
      <c r="L15" s="6">
        <f t="shared" si="0"/>
        <v>10</v>
      </c>
      <c r="M15" s="6">
        <f t="shared" si="0"/>
        <v>11</v>
      </c>
      <c r="N15" s="6">
        <f t="shared" si="0"/>
        <v>12</v>
      </c>
      <c r="O15" s="6">
        <f t="shared" si="0"/>
        <v>13</v>
      </c>
      <c r="P15" s="6">
        <f t="shared" si="0"/>
        <v>14</v>
      </c>
      <c r="Q15" s="6">
        <f t="shared" si="0"/>
        <v>15</v>
      </c>
      <c r="R15" s="6">
        <f t="shared" si="0"/>
        <v>16</v>
      </c>
      <c r="S15" s="6">
        <f t="shared" si="0"/>
        <v>17</v>
      </c>
      <c r="T15" s="6">
        <f>S15+1</f>
        <v>18</v>
      </c>
      <c r="U15" s="6">
        <f t="shared" si="0"/>
        <v>19</v>
      </c>
      <c r="V15" s="6">
        <f>U15+1</f>
        <v>20</v>
      </c>
      <c r="X15" s="1" t="s">
        <v>11</v>
      </c>
    </row>
    <row r="16" spans="1:24">
      <c r="A16" s="6" t="s">
        <v>12</v>
      </c>
      <c r="B16" s="4">
        <f>-B7</f>
        <v>-1226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5">
      <c r="A17" s="6" t="s">
        <v>13</v>
      </c>
      <c r="B17" s="4">
        <f>B8</f>
        <v>245.2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5">
      <c r="A18" s="6" t="s">
        <v>14</v>
      </c>
      <c r="B18" s="4">
        <f>B7-B8</f>
        <v>980.8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X18" s="1" t="s">
        <v>15</v>
      </c>
    </row>
    <row r="19" spans="1:25">
      <c r="A19" s="6" t="s">
        <v>16</v>
      </c>
      <c r="B19" s="4"/>
      <c r="C19" s="4">
        <f>F19*0.25</f>
        <v>622.77499999999998</v>
      </c>
      <c r="D19" s="4">
        <f>0.5*F19</f>
        <v>1245.55</v>
      </c>
      <c r="E19" s="4">
        <f>0.75*F19</f>
        <v>1868.3249999999998</v>
      </c>
      <c r="F19" s="4">
        <f>B9</f>
        <v>2491.1</v>
      </c>
      <c r="G19" s="4">
        <f>2563341900/1000000</f>
        <v>2563.3418999999999</v>
      </c>
      <c r="H19" s="4">
        <f>2635115473/1000000</f>
        <v>2635.1154729999998</v>
      </c>
      <c r="I19" s="4">
        <f>2707201264/1000000</f>
        <v>2707.2012639999998</v>
      </c>
      <c r="J19" s="4">
        <f>FORECAST(J15,F19:I19,F15:I15)</f>
        <v>2779.2090004999995</v>
      </c>
      <c r="K19" s="4">
        <f t="shared" ref="K19:S19" si="1">FORECAST(K15,G19:J19,G15:J15)</f>
        <v>2851.138682499999</v>
      </c>
      <c r="L19" s="4">
        <f t="shared" si="1"/>
        <v>2923.1854462499987</v>
      </c>
      <c r="M19" s="4">
        <f t="shared" si="1"/>
        <v>2995.1541554999985</v>
      </c>
      <c r="N19" s="4">
        <f t="shared" si="1"/>
        <v>3067.1423783749979</v>
      </c>
      <c r="O19" s="4">
        <f t="shared" si="1"/>
        <v>3139.1501148749976</v>
      </c>
      <c r="P19" s="4">
        <f t="shared" si="1"/>
        <v>3211.1285809374967</v>
      </c>
      <c r="Q19" s="4">
        <f t="shared" si="1"/>
        <v>3283.1265606249963</v>
      </c>
      <c r="R19" s="4">
        <f t="shared" si="1"/>
        <v>3355.1196619062457</v>
      </c>
      <c r="S19" s="4">
        <f t="shared" si="1"/>
        <v>3427.1078847812455</v>
      </c>
      <c r="T19" s="4">
        <f>0.75*S19</f>
        <v>2570.330913585934</v>
      </c>
      <c r="U19" s="4">
        <f>0.5*S19</f>
        <v>1713.5539423906228</v>
      </c>
      <c r="V19" s="4">
        <f>0.25*S19</f>
        <v>856.77697119531138</v>
      </c>
    </row>
    <row r="20" spans="1:25">
      <c r="A20" s="6" t="s">
        <v>17</v>
      </c>
      <c r="B20" s="4"/>
      <c r="C20" s="4">
        <f>0.25*F20</f>
        <v>253.1935805</v>
      </c>
      <c r="D20" s="4">
        <f>0.5*F20</f>
        <v>506.38716099999999</v>
      </c>
      <c r="E20" s="4">
        <f>0.75*F20</f>
        <v>759.58074149999993</v>
      </c>
      <c r="F20" s="4">
        <f>B10</f>
        <v>1012.774322</v>
      </c>
      <c r="G20" s="4">
        <f>F20*1.07</f>
        <v>1083.6685245400001</v>
      </c>
      <c r="H20" s="4">
        <f t="shared" ref="H20:S20" si="2">G20*1.07</f>
        <v>1159.5253212578002</v>
      </c>
      <c r="I20" s="4">
        <f t="shared" si="2"/>
        <v>1240.6920937458463</v>
      </c>
      <c r="J20" s="4">
        <f t="shared" si="2"/>
        <v>1327.5405403080556</v>
      </c>
      <c r="K20" s="4">
        <f t="shared" si="2"/>
        <v>1420.4683781296196</v>
      </c>
      <c r="L20" s="4">
        <f t="shared" si="2"/>
        <v>1519.9011645986932</v>
      </c>
      <c r="M20" s="4">
        <f t="shared" si="2"/>
        <v>1626.2942461206019</v>
      </c>
      <c r="N20" s="4">
        <f t="shared" si="2"/>
        <v>1740.1348433490441</v>
      </c>
      <c r="O20" s="4">
        <f t="shared" si="2"/>
        <v>1861.9442823834772</v>
      </c>
      <c r="P20" s="4">
        <f t="shared" si="2"/>
        <v>1992.2803821503207</v>
      </c>
      <c r="Q20" s="4">
        <f t="shared" si="2"/>
        <v>2131.7400089008433</v>
      </c>
      <c r="R20" s="4">
        <f t="shared" si="2"/>
        <v>2280.9618095239025</v>
      </c>
      <c r="S20" s="4">
        <f t="shared" si="2"/>
        <v>2440.629136190576</v>
      </c>
      <c r="T20" s="4">
        <f>S20*1.07*0.75</f>
        <v>1958.6048817929372</v>
      </c>
      <c r="U20" s="4">
        <f>T20*1.07*0.5</f>
        <v>1047.8536117592214</v>
      </c>
      <c r="V20" s="4">
        <f>U20*1.07*0.25</f>
        <v>280.30084114559173</v>
      </c>
    </row>
    <row r="21" spans="1:25">
      <c r="A21" s="6" t="s">
        <v>18</v>
      </c>
      <c r="B21" s="4"/>
      <c r="C21" s="4">
        <f>0.25*F21</f>
        <v>84.115709424999991</v>
      </c>
      <c r="D21" s="4">
        <f>0.5*F21</f>
        <v>168.23141884999998</v>
      </c>
      <c r="E21" s="4">
        <f>0.75*F21</f>
        <v>252.34712827499999</v>
      </c>
      <c r="F21" s="4">
        <f>B11</f>
        <v>336.46283769999997</v>
      </c>
      <c r="G21" s="4">
        <f>B11</f>
        <v>336.46283769999997</v>
      </c>
      <c r="H21" s="4">
        <f>G21*1.1</f>
        <v>370.10912146999999</v>
      </c>
      <c r="I21" s="4">
        <f>H21</f>
        <v>370.10912146999999</v>
      </c>
      <c r="J21" s="4">
        <f>I21*1.1</f>
        <v>407.12003361700005</v>
      </c>
      <c r="K21" s="4">
        <f>J21</f>
        <v>407.12003361700005</v>
      </c>
      <c r="L21" s="4">
        <f>K21*1.1</f>
        <v>447.8320369787001</v>
      </c>
      <c r="M21" s="4">
        <f>L21</f>
        <v>447.8320369787001</v>
      </c>
      <c r="N21" s="4">
        <f>M21*1.1</f>
        <v>492.61524067657012</v>
      </c>
      <c r="O21" s="4">
        <f>N21</f>
        <v>492.61524067657012</v>
      </c>
      <c r="P21" s="4">
        <f>O21*1.1</f>
        <v>541.87676474422722</v>
      </c>
      <c r="Q21" s="4">
        <f>P21</f>
        <v>541.87676474422722</v>
      </c>
      <c r="R21" s="4">
        <f>Q21*1.1</f>
        <v>596.06444121865002</v>
      </c>
      <c r="S21" s="4">
        <f>R21</f>
        <v>596.06444121865002</v>
      </c>
      <c r="T21" s="4">
        <f>0.75*S21</f>
        <v>447.04833091398751</v>
      </c>
      <c r="U21" s="4">
        <f>0.5*S21</f>
        <v>298.03222060932501</v>
      </c>
      <c r="V21" s="4">
        <f>0.25*S21</f>
        <v>149.0161103046625</v>
      </c>
    </row>
    <row r="22" spans="1:25">
      <c r="A22" s="6" t="s">
        <v>19</v>
      </c>
      <c r="B22" s="4"/>
      <c r="C22" s="4">
        <f>$B$12</f>
        <v>0.86766008999999999</v>
      </c>
      <c r="D22" s="4">
        <f t="shared" ref="D22:V22" si="3">$B$12</f>
        <v>0.86766008999999999</v>
      </c>
      <c r="E22" s="4">
        <f t="shared" si="3"/>
        <v>0.86766008999999999</v>
      </c>
      <c r="F22" s="4">
        <f t="shared" si="3"/>
        <v>0.86766008999999999</v>
      </c>
      <c r="G22" s="4">
        <f t="shared" si="3"/>
        <v>0.86766008999999999</v>
      </c>
      <c r="H22" s="4">
        <f t="shared" si="3"/>
        <v>0.86766008999999999</v>
      </c>
      <c r="I22" s="4">
        <f t="shared" si="3"/>
        <v>0.86766008999999999</v>
      </c>
      <c r="J22" s="4">
        <f t="shared" si="3"/>
        <v>0.86766008999999999</v>
      </c>
      <c r="K22" s="4">
        <f t="shared" si="3"/>
        <v>0.86766008999999999</v>
      </c>
      <c r="L22" s="4">
        <f t="shared" si="3"/>
        <v>0.86766008999999999</v>
      </c>
      <c r="M22" s="4">
        <f t="shared" si="3"/>
        <v>0.86766008999999999</v>
      </c>
      <c r="N22" s="4">
        <f t="shared" si="3"/>
        <v>0.86766008999999999</v>
      </c>
      <c r="O22" s="4">
        <f t="shared" si="3"/>
        <v>0.86766008999999999</v>
      </c>
      <c r="P22" s="4">
        <f t="shared" si="3"/>
        <v>0.86766008999999999</v>
      </c>
      <c r="Q22" s="4">
        <f t="shared" si="3"/>
        <v>0.86766008999999999</v>
      </c>
      <c r="R22" s="4">
        <f t="shared" si="3"/>
        <v>0.86766008999999999</v>
      </c>
      <c r="S22" s="4">
        <f t="shared" si="3"/>
        <v>0.86766008999999999</v>
      </c>
      <c r="T22" s="4">
        <f t="shared" si="3"/>
        <v>0.86766008999999999</v>
      </c>
      <c r="U22" s="4">
        <f t="shared" si="3"/>
        <v>0.86766008999999999</v>
      </c>
      <c r="V22" s="4">
        <f t="shared" si="3"/>
        <v>0.86766008999999999</v>
      </c>
    </row>
    <row r="23" spans="1:25">
      <c r="A23" s="6" t="s">
        <v>20</v>
      </c>
      <c r="B23" s="4"/>
      <c r="C23" s="4">
        <f>C19-C20-C21-C22</f>
        <v>284.59804998499999</v>
      </c>
      <c r="D23" s="4">
        <f t="shared" ref="D23:V23" si="4">D19-D20-D21-D22</f>
        <v>570.06376006000005</v>
      </c>
      <c r="E23" s="4">
        <f t="shared" si="4"/>
        <v>855.529470135</v>
      </c>
      <c r="F23" s="4">
        <f t="shared" si="4"/>
        <v>1140.9951802099999</v>
      </c>
      <c r="G23" s="4">
        <f t="shared" si="4"/>
        <v>1142.3428776699998</v>
      </c>
      <c r="H23" s="4">
        <f t="shared" si="4"/>
        <v>1104.6133701821996</v>
      </c>
      <c r="I23" s="4">
        <f t="shared" si="4"/>
        <v>1095.5323886941535</v>
      </c>
      <c r="J23" s="4">
        <f t="shared" si="4"/>
        <v>1043.6807664849439</v>
      </c>
      <c r="K23" s="4">
        <f t="shared" si="4"/>
        <v>1022.6826106633795</v>
      </c>
      <c r="L23" s="4">
        <f t="shared" si="4"/>
        <v>954.58458458260543</v>
      </c>
      <c r="M23" s="4">
        <f t="shared" si="4"/>
        <v>920.16021231069658</v>
      </c>
      <c r="N23" s="4">
        <f t="shared" si="4"/>
        <v>833.52463425938367</v>
      </c>
      <c r="O23" s="4">
        <f t="shared" si="4"/>
        <v>783.72293172495029</v>
      </c>
      <c r="P23" s="4">
        <f t="shared" si="4"/>
        <v>676.10377395294881</v>
      </c>
      <c r="Q23" s="4">
        <f t="shared" si="4"/>
        <v>608.64212688992575</v>
      </c>
      <c r="R23" s="4">
        <f t="shared" si="4"/>
        <v>477.22575107369317</v>
      </c>
      <c r="S23" s="4">
        <f t="shared" si="4"/>
        <v>389.54664728201948</v>
      </c>
      <c r="T23" s="4">
        <f t="shared" si="4"/>
        <v>163.81004078900926</v>
      </c>
      <c r="U23" s="4">
        <f t="shared" si="4"/>
        <v>366.80044993207633</v>
      </c>
      <c r="V23" s="4">
        <f t="shared" si="4"/>
        <v>426.59235965505707</v>
      </c>
      <c r="Y23" s="1" t="s">
        <v>21</v>
      </c>
    </row>
    <row r="24" spans="1:25">
      <c r="A24" s="6" t="s">
        <v>22</v>
      </c>
      <c r="B24" s="4" t="s">
        <v>23</v>
      </c>
      <c r="C24" s="4">
        <f>-$B$16/20</f>
        <v>61.3</v>
      </c>
      <c r="D24" s="4">
        <f t="shared" ref="D24:V24" si="5">-$B$16/20</f>
        <v>61.3</v>
      </c>
      <c r="E24" s="4">
        <f t="shared" si="5"/>
        <v>61.3</v>
      </c>
      <c r="F24" s="4">
        <f t="shared" si="5"/>
        <v>61.3</v>
      </c>
      <c r="G24" s="4">
        <f t="shared" si="5"/>
        <v>61.3</v>
      </c>
      <c r="H24" s="4">
        <f t="shared" si="5"/>
        <v>61.3</v>
      </c>
      <c r="I24" s="4">
        <f t="shared" si="5"/>
        <v>61.3</v>
      </c>
      <c r="J24" s="4">
        <f t="shared" si="5"/>
        <v>61.3</v>
      </c>
      <c r="K24" s="4">
        <f t="shared" si="5"/>
        <v>61.3</v>
      </c>
      <c r="L24" s="4">
        <f t="shared" si="5"/>
        <v>61.3</v>
      </c>
      <c r="M24" s="4">
        <f t="shared" si="5"/>
        <v>61.3</v>
      </c>
      <c r="N24" s="4">
        <f t="shared" si="5"/>
        <v>61.3</v>
      </c>
      <c r="O24" s="4">
        <f t="shared" si="5"/>
        <v>61.3</v>
      </c>
      <c r="P24" s="4">
        <f t="shared" si="5"/>
        <v>61.3</v>
      </c>
      <c r="Q24" s="4">
        <f t="shared" si="5"/>
        <v>61.3</v>
      </c>
      <c r="R24" s="4">
        <f t="shared" si="5"/>
        <v>61.3</v>
      </c>
      <c r="S24" s="4">
        <f t="shared" si="5"/>
        <v>61.3</v>
      </c>
      <c r="T24" s="4">
        <f t="shared" si="5"/>
        <v>61.3</v>
      </c>
      <c r="U24" s="4">
        <f t="shared" si="5"/>
        <v>61.3</v>
      </c>
      <c r="V24" s="4">
        <f t="shared" si="5"/>
        <v>61.3</v>
      </c>
    </row>
    <row r="25" spans="1:25">
      <c r="A25" s="8" t="s">
        <v>24</v>
      </c>
      <c r="B25" s="9"/>
      <c r="C25" s="9">
        <f>C23-C24</f>
        <v>223.29804998499998</v>
      </c>
      <c r="D25" s="9">
        <f t="shared" ref="D25:V25" si="6">D23-D24</f>
        <v>508.76376006000004</v>
      </c>
      <c r="E25" s="9">
        <f t="shared" si="6"/>
        <v>794.22947013500004</v>
      </c>
      <c r="F25" s="9">
        <f t="shared" si="6"/>
        <v>1079.69518021</v>
      </c>
      <c r="G25" s="9">
        <f t="shared" si="6"/>
        <v>1081.0428776699998</v>
      </c>
      <c r="H25" s="9">
        <f t="shared" si="6"/>
        <v>1043.3133701821996</v>
      </c>
      <c r="I25" s="9">
        <f t="shared" si="6"/>
        <v>1034.2323886941535</v>
      </c>
      <c r="J25" s="9">
        <f t="shared" si="6"/>
        <v>982.38076648494393</v>
      </c>
      <c r="K25" s="9">
        <f t="shared" si="6"/>
        <v>961.38261066337952</v>
      </c>
      <c r="L25" s="9">
        <f t="shared" si="6"/>
        <v>893.28458458260548</v>
      </c>
      <c r="M25" s="9">
        <f t="shared" si="6"/>
        <v>858.86021231069662</v>
      </c>
      <c r="N25" s="9">
        <f t="shared" si="6"/>
        <v>772.22463425938372</v>
      </c>
      <c r="O25" s="9">
        <f t="shared" si="6"/>
        <v>722.42293172495033</v>
      </c>
      <c r="P25" s="9">
        <f t="shared" si="6"/>
        <v>614.80377395294886</v>
      </c>
      <c r="Q25" s="9">
        <f t="shared" si="6"/>
        <v>547.34212688992579</v>
      </c>
      <c r="R25" s="9">
        <f t="shared" si="6"/>
        <v>415.92575107369316</v>
      </c>
      <c r="S25" s="9">
        <f t="shared" si="6"/>
        <v>328.24664728201947</v>
      </c>
      <c r="T25" s="9">
        <f t="shared" si="6"/>
        <v>102.51004078900927</v>
      </c>
      <c r="U25" s="9">
        <f t="shared" si="6"/>
        <v>305.50044993207632</v>
      </c>
      <c r="V25" s="9">
        <f t="shared" si="6"/>
        <v>365.29235965505706</v>
      </c>
    </row>
    <row r="26" spans="1:25">
      <c r="A26" s="6" t="s">
        <v>25</v>
      </c>
      <c r="B26" s="4" t="s">
        <v>26</v>
      </c>
      <c r="C26" s="4">
        <f>$B$17*$C$28</f>
        <v>43.396517051993762</v>
      </c>
      <c r="D26" s="4">
        <f t="shared" ref="D26:V26" si="7">$B$17*$C$28</f>
        <v>43.396517051993762</v>
      </c>
      <c r="E26" s="4">
        <f t="shared" si="7"/>
        <v>43.396517051993762</v>
      </c>
      <c r="F26" s="4">
        <f t="shared" si="7"/>
        <v>43.396517051993762</v>
      </c>
      <c r="G26" s="4">
        <f t="shared" si="7"/>
        <v>43.396517051993762</v>
      </c>
      <c r="H26" s="4">
        <f t="shared" si="7"/>
        <v>43.396517051993762</v>
      </c>
      <c r="I26" s="4">
        <f t="shared" si="7"/>
        <v>43.396517051993762</v>
      </c>
      <c r="J26" s="4">
        <f t="shared" si="7"/>
        <v>43.396517051993762</v>
      </c>
      <c r="K26" s="4">
        <f t="shared" si="7"/>
        <v>43.396517051993762</v>
      </c>
      <c r="L26" s="4">
        <f t="shared" si="7"/>
        <v>43.396517051993762</v>
      </c>
      <c r="M26" s="5"/>
      <c r="N26" s="5"/>
      <c r="O26" s="5"/>
      <c r="P26" s="5"/>
      <c r="Q26" s="5"/>
      <c r="R26" s="5"/>
      <c r="S26" s="5"/>
      <c r="T26" s="5"/>
      <c r="U26" s="5"/>
      <c r="V26" s="5"/>
      <c r="X26" s="1" t="s">
        <v>27</v>
      </c>
    </row>
    <row r="27" spans="1:25">
      <c r="A27" s="6" t="s">
        <v>32</v>
      </c>
      <c r="B27" s="10">
        <v>0.12</v>
      </c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5">
      <c r="A28" s="6" t="s">
        <v>28</v>
      </c>
      <c r="B28" s="4" t="s">
        <v>29</v>
      </c>
      <c r="C28" s="4">
        <f>(B27*(1+B27)^B29)/((1+B27)^B29-1)</f>
        <v>0.17698416415984405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X28" s="1" t="s">
        <v>30</v>
      </c>
    </row>
    <row r="29" spans="1:25">
      <c r="A29" s="6" t="s">
        <v>31</v>
      </c>
      <c r="B29" s="4">
        <v>10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5">
      <c r="A30" s="6" t="s">
        <v>33</v>
      </c>
      <c r="B30" s="4" t="s">
        <v>34</v>
      </c>
      <c r="C30" s="4">
        <f>C25-C26</f>
        <v>179.90153293300622</v>
      </c>
      <c r="D30" s="4">
        <f t="shared" ref="D30:V30" si="8">D25-D26</f>
        <v>465.36724300800626</v>
      </c>
      <c r="E30" s="4">
        <f t="shared" si="8"/>
        <v>750.83295308300626</v>
      </c>
      <c r="F30" s="4">
        <f t="shared" si="8"/>
        <v>1036.2986631580063</v>
      </c>
      <c r="G30" s="4">
        <f t="shared" si="8"/>
        <v>1037.6463606180062</v>
      </c>
      <c r="H30" s="4">
        <f t="shared" si="8"/>
        <v>999.91685313020582</v>
      </c>
      <c r="I30" s="4">
        <f t="shared" si="8"/>
        <v>990.83587164215976</v>
      </c>
      <c r="J30" s="4">
        <f t="shared" si="8"/>
        <v>938.98424943295015</v>
      </c>
      <c r="K30" s="4">
        <f t="shared" si="8"/>
        <v>917.98609361138574</v>
      </c>
      <c r="L30" s="4">
        <f t="shared" si="8"/>
        <v>849.88806753061169</v>
      </c>
      <c r="M30" s="4">
        <f t="shared" si="8"/>
        <v>858.86021231069662</v>
      </c>
      <c r="N30" s="4">
        <f t="shared" si="8"/>
        <v>772.22463425938372</v>
      </c>
      <c r="O30" s="4">
        <f t="shared" si="8"/>
        <v>722.42293172495033</v>
      </c>
      <c r="P30" s="4">
        <f t="shared" si="8"/>
        <v>614.80377395294886</v>
      </c>
      <c r="Q30" s="4">
        <f t="shared" si="8"/>
        <v>547.34212688992579</v>
      </c>
      <c r="R30" s="4">
        <f t="shared" si="8"/>
        <v>415.92575107369316</v>
      </c>
      <c r="S30" s="4">
        <f t="shared" si="8"/>
        <v>328.24664728201947</v>
      </c>
      <c r="T30" s="4">
        <f t="shared" si="8"/>
        <v>102.51004078900927</v>
      </c>
      <c r="U30" s="4">
        <f t="shared" si="8"/>
        <v>305.50044993207632</v>
      </c>
      <c r="V30" s="4">
        <f t="shared" si="8"/>
        <v>365.29235965505706</v>
      </c>
    </row>
    <row r="31" spans="1:25">
      <c r="A31" s="6" t="s">
        <v>35</v>
      </c>
      <c r="B31" s="4" t="s">
        <v>36</v>
      </c>
      <c r="C31" s="11">
        <f>C32+C35+C33</f>
        <v>129.82539048660124</v>
      </c>
      <c r="D31" s="11">
        <f t="shared" ref="D31:V31" si="9">D32+D35+D33</f>
        <v>280.76361640160127</v>
      </c>
      <c r="E31" s="11">
        <f t="shared" si="9"/>
        <v>431.70184231660124</v>
      </c>
      <c r="F31" s="11">
        <f t="shared" si="9"/>
        <v>582.64006823160128</v>
      </c>
      <c r="G31" s="11">
        <f t="shared" si="9"/>
        <v>585.49088801560117</v>
      </c>
      <c r="H31" s="11">
        <f t="shared" si="9"/>
        <v>579.42509611048115</v>
      </c>
      <c r="I31" s="11">
        <f t="shared" si="9"/>
        <v>578.09944882726268</v>
      </c>
      <c r="J31" s="11">
        <f t="shared" si="9"/>
        <v>567.06522994097884</v>
      </c>
      <c r="K31" s="11">
        <f t="shared" si="9"/>
        <v>560.96771743635304</v>
      </c>
      <c r="L31" s="11">
        <f t="shared" si="9"/>
        <v>544.17640411638342</v>
      </c>
      <c r="M31" s="11">
        <f t="shared" si="9"/>
        <v>541.38895731401863</v>
      </c>
      <c r="N31" s="11">
        <f t="shared" si="9"/>
        <v>517.99498996506748</v>
      </c>
      <c r="O31" s="11">
        <f t="shared" si="9"/>
        <v>500.37855651929414</v>
      </c>
      <c r="P31" s="11">
        <f t="shared" si="9"/>
        <v>469.48650913802487</v>
      </c>
      <c r="Q31" s="11">
        <f t="shared" si="9"/>
        <v>444.80578566281565</v>
      </c>
      <c r="R31" s="11">
        <f t="shared" si="9"/>
        <v>405.3805498722071</v>
      </c>
      <c r="S31" s="11">
        <f t="shared" si="9"/>
        <v>372.61253148753769</v>
      </c>
      <c r="T31" s="11">
        <f t="shared" si="9"/>
        <v>225.15844290203671</v>
      </c>
      <c r="U31" s="11">
        <f t="shared" si="9"/>
        <v>249.07388226919551</v>
      </c>
      <c r="V31" s="11">
        <f t="shared" si="9"/>
        <v>215.7705610192053</v>
      </c>
    </row>
    <row r="32" spans="1:25">
      <c r="A32" s="6" t="s">
        <v>37</v>
      </c>
      <c r="B32" s="4" t="s">
        <v>41</v>
      </c>
      <c r="C32" s="11">
        <f>IF($B$34*(C30-C33) &lt; 0, 0, $B$34*(C30-C33))</f>
        <v>30.998106586601246</v>
      </c>
      <c r="D32" s="11">
        <f t="shared" ref="D32:E32" si="10">IF($B$34*(D30-D33) &lt; 0, 0, $B$34*(D30-D33))</f>
        <v>83.109048601601259</v>
      </c>
      <c r="E32" s="11">
        <f>IF($B$34*(E30-E33) &lt; 0, 0, $B$34*(E30-E33))</f>
        <v>135.21999061660128</v>
      </c>
      <c r="F32" s="11">
        <f t="shared" ref="F32" si="11">IF($B$34*(F30-F33) &lt; 0, 0, $B$34*(F30-F33))</f>
        <v>187.33093263160129</v>
      </c>
      <c r="G32" s="11">
        <f t="shared" ref="G32" si="12">IF($B$34*(G30-G33) &lt; 0, 0, $B$34*(G30-G33))</f>
        <v>187.02253692360125</v>
      </c>
      <c r="H32" s="11">
        <f t="shared" ref="H32" si="13">IF($B$34*(H30-H33) &lt; 0, 0, $B$34*(H30-H33))</f>
        <v>178.90244684204117</v>
      </c>
      <c r="I32" s="11">
        <f t="shared" ref="I32" si="14">IF($B$34*(I30-I33) &lt; 0, 0, $B$34*(I30-I33))</f>
        <v>176.50956421643195</v>
      </c>
      <c r="J32" s="11">
        <f t="shared" ref="J32" si="15">IF($B$34*(J30-J33) &lt; 0, 0, $B$34*(J30-J33))</f>
        <v>165.56317788259003</v>
      </c>
      <c r="K32" s="11">
        <f t="shared" ref="K32" si="16">IF($B$34*(K30-K33) &lt; 0, 0, $B$34*(K30-K33))</f>
        <v>160.78810926227717</v>
      </c>
      <c r="L32" s="11">
        <f t="shared" ref="L32" si="17">IF($B$34*(L30-L33) &lt; 0, 0, $B$34*(L30-L33))</f>
        <v>146.59212993612235</v>
      </c>
      <c r="M32" s="11">
        <f t="shared" ref="M32" si="18">IF($B$34*(M30-M33) &lt; 0, 0, $B$34*(M30-M33))</f>
        <v>147.81080921813935</v>
      </c>
      <c r="N32" s="11">
        <f t="shared" ref="N32" si="19">IF($B$34*(N30-N33) &lt; 0, 0, $B$34*(N30-N33))</f>
        <v>129.90778782487675</v>
      </c>
      <c r="O32" s="11">
        <f t="shared" ref="O32" si="20">IF($B$34*(O30-O33) &lt; 0, 0, $B$34*(O30-O33))</f>
        <v>119.3713854259901</v>
      </c>
      <c r="P32" s="11">
        <f t="shared" ref="P32" si="21">IF($B$34*(P30-P33) &lt; 0, 0, $B$34*(P30-P33))</f>
        <v>97.271726143089793</v>
      </c>
      <c r="Q32" s="11">
        <f t="shared" ref="Q32" si="22">IF($B$34*(Q30-Q33) &lt; 0, 0, $B$34*(Q30-Q33))</f>
        <v>83.203412892985199</v>
      </c>
      <c r="R32" s="11">
        <f t="shared" ref="R32" si="23">IF($B$34*(R30-R33) &lt; 0, 0, $B$34*(R30-R33))</f>
        <v>56.344192919488663</v>
      </c>
      <c r="S32" s="11">
        <f t="shared" ref="S32" si="24">IF($B$34*(S30-S33) &lt; 0, 0, $B$34*(S30-S33))</f>
        <v>38.23246637815393</v>
      </c>
      <c r="T32" s="11">
        <f t="shared" ref="T32" si="25">IF($B$34*(T30-T33) &lt; 0, 0, $B$34*(T30-T33))</f>
        <v>0</v>
      </c>
      <c r="U32" s="11">
        <f t="shared" ref="U32" si="26">IF($B$34*(U30-U33) &lt; 0, 0, $B$34*(U30-U33))</f>
        <v>47.39165844729029</v>
      </c>
      <c r="V32" s="11">
        <f t="shared" ref="V32" si="27">IF($B$34*(V30-V33) &lt; 0, 0, $B$34*(V30-V33))</f>
        <v>66.204256161448924</v>
      </c>
    </row>
    <row r="33" spans="1:22">
      <c r="A33" s="6" t="s">
        <v>38</v>
      </c>
      <c r="B33" s="4" t="s">
        <v>39</v>
      </c>
      <c r="C33" s="4">
        <f>C19*0.04</f>
        <v>24.911000000000001</v>
      </c>
      <c r="D33" s="4">
        <f t="shared" ref="D33:V33" si="28">D19*0.04</f>
        <v>49.822000000000003</v>
      </c>
      <c r="E33" s="4">
        <f t="shared" si="28"/>
        <v>74.73299999999999</v>
      </c>
      <c r="F33" s="4">
        <f t="shared" si="28"/>
        <v>99.644000000000005</v>
      </c>
      <c r="G33" s="4">
        <f t="shared" si="28"/>
        <v>102.533676</v>
      </c>
      <c r="H33" s="4">
        <f t="shared" si="28"/>
        <v>105.40461891999999</v>
      </c>
      <c r="I33" s="4">
        <f t="shared" si="28"/>
        <v>108.28805055999999</v>
      </c>
      <c r="J33" s="4">
        <f t="shared" si="28"/>
        <v>111.16836001999998</v>
      </c>
      <c r="K33" s="4">
        <f t="shared" si="28"/>
        <v>114.04554729999997</v>
      </c>
      <c r="L33" s="4">
        <f t="shared" si="28"/>
        <v>116.92741784999996</v>
      </c>
      <c r="M33" s="4">
        <f t="shared" si="28"/>
        <v>119.80616621999994</v>
      </c>
      <c r="N33" s="4">
        <f t="shared" si="28"/>
        <v>122.68569513499992</v>
      </c>
      <c r="O33" s="4">
        <f t="shared" si="28"/>
        <v>125.56600459499991</v>
      </c>
      <c r="P33" s="4">
        <f t="shared" si="28"/>
        <v>128.44514323749988</v>
      </c>
      <c r="Q33" s="4">
        <f t="shared" si="28"/>
        <v>131.32506242499986</v>
      </c>
      <c r="R33" s="4">
        <f t="shared" si="28"/>
        <v>134.20478647624984</v>
      </c>
      <c r="S33" s="4">
        <f t="shared" si="28"/>
        <v>137.08431539124982</v>
      </c>
      <c r="T33" s="4">
        <f t="shared" si="28"/>
        <v>102.81323654343737</v>
      </c>
      <c r="U33" s="4">
        <f t="shared" si="28"/>
        <v>68.542157695624908</v>
      </c>
      <c r="V33" s="4">
        <f t="shared" si="28"/>
        <v>34.271078847812454</v>
      </c>
    </row>
    <row r="34" spans="1:22">
      <c r="A34" s="6" t="s">
        <v>40</v>
      </c>
      <c r="B34" s="10">
        <v>0.2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6" t="s">
        <v>42</v>
      </c>
      <c r="B35" s="4" t="s">
        <v>44</v>
      </c>
      <c r="C35" s="4">
        <f>$B$36*(C19-C20)</f>
        <v>73.916283899999996</v>
      </c>
      <c r="D35" s="4">
        <f t="shared" ref="D35:V35" si="29">$B$36*(D19-D20)</f>
        <v>147.83256779999999</v>
      </c>
      <c r="E35" s="4">
        <f t="shared" si="29"/>
        <v>221.74885169999999</v>
      </c>
      <c r="F35" s="4">
        <f t="shared" si="29"/>
        <v>295.66513559999999</v>
      </c>
      <c r="G35" s="4">
        <f t="shared" si="29"/>
        <v>295.93467509199996</v>
      </c>
      <c r="H35" s="4">
        <f t="shared" si="29"/>
        <v>295.11803034843996</v>
      </c>
      <c r="I35" s="4">
        <f t="shared" si="29"/>
        <v>293.30183405083073</v>
      </c>
      <c r="J35" s="4">
        <f t="shared" si="29"/>
        <v>290.33369203838879</v>
      </c>
      <c r="K35" s="4">
        <f t="shared" si="29"/>
        <v>286.13406087407589</v>
      </c>
      <c r="L35" s="4">
        <f t="shared" si="29"/>
        <v>280.65685633026112</v>
      </c>
      <c r="M35" s="4">
        <f t="shared" si="29"/>
        <v>273.77198187587936</v>
      </c>
      <c r="N35" s="4">
        <f t="shared" si="29"/>
        <v>265.40150700519075</v>
      </c>
      <c r="O35" s="4">
        <f t="shared" si="29"/>
        <v>255.44116649830409</v>
      </c>
      <c r="P35" s="4">
        <f t="shared" si="29"/>
        <v>243.76963975743521</v>
      </c>
      <c r="Q35" s="4">
        <f t="shared" si="29"/>
        <v>230.2773103448306</v>
      </c>
      <c r="R35" s="4">
        <f t="shared" si="29"/>
        <v>214.83157047646864</v>
      </c>
      <c r="S35" s="4">
        <f t="shared" si="29"/>
        <v>197.29574971813392</v>
      </c>
      <c r="T35" s="4">
        <f t="shared" si="29"/>
        <v>122.34520635859936</v>
      </c>
      <c r="U35" s="4">
        <f t="shared" si="29"/>
        <v>133.14006612628029</v>
      </c>
      <c r="V35" s="4">
        <f t="shared" si="29"/>
        <v>115.29522600994392</v>
      </c>
    </row>
    <row r="36" spans="1:22">
      <c r="A36" s="6" t="s">
        <v>43</v>
      </c>
      <c r="B36" s="4">
        <v>0.2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6" t="s">
        <v>45</v>
      </c>
      <c r="B37" s="4" t="s">
        <v>46</v>
      </c>
      <c r="C37" s="11">
        <f>C30-C31</f>
        <v>50.076142446404987</v>
      </c>
      <c r="D37" s="11">
        <f t="shared" ref="D37:V37" si="30">D30-D31</f>
        <v>184.60362660640499</v>
      </c>
      <c r="E37" s="11">
        <f t="shared" si="30"/>
        <v>319.13111076640502</v>
      </c>
      <c r="F37" s="11">
        <f t="shared" si="30"/>
        <v>453.65859492640504</v>
      </c>
      <c r="G37" s="11">
        <f t="shared" si="30"/>
        <v>452.15547260240498</v>
      </c>
      <c r="H37" s="11">
        <f t="shared" si="30"/>
        <v>420.49175701972467</v>
      </c>
      <c r="I37" s="11">
        <f t="shared" si="30"/>
        <v>412.73642281489708</v>
      </c>
      <c r="J37" s="11">
        <f t="shared" si="30"/>
        <v>371.91901949197131</v>
      </c>
      <c r="K37" s="11">
        <f t="shared" si="30"/>
        <v>357.0183761750327</v>
      </c>
      <c r="L37" s="11">
        <f t="shared" si="30"/>
        <v>305.71166341422827</v>
      </c>
      <c r="M37" s="11">
        <f t="shared" si="30"/>
        <v>317.471254996678</v>
      </c>
      <c r="N37" s="11">
        <f t="shared" si="30"/>
        <v>254.22964429431624</v>
      </c>
      <c r="O37" s="11">
        <f t="shared" si="30"/>
        <v>222.04437520565619</v>
      </c>
      <c r="P37" s="11">
        <f t="shared" si="30"/>
        <v>145.31726481492399</v>
      </c>
      <c r="Q37" s="11">
        <f t="shared" si="30"/>
        <v>102.53634122711014</v>
      </c>
      <c r="R37" s="11">
        <f t="shared" si="30"/>
        <v>10.545201201486066</v>
      </c>
      <c r="S37" s="11">
        <f t="shared" si="30"/>
        <v>-44.365884205518228</v>
      </c>
      <c r="T37" s="11">
        <f t="shared" si="30"/>
        <v>-122.64840211302744</v>
      </c>
      <c r="U37" s="11">
        <f t="shared" si="30"/>
        <v>56.426567662880814</v>
      </c>
      <c r="V37" s="11">
        <f t="shared" si="30"/>
        <v>149.52179863585175</v>
      </c>
    </row>
    <row r="38" spans="1:22">
      <c r="A38" s="6" t="s">
        <v>48</v>
      </c>
      <c r="B38" s="4" t="s">
        <v>47</v>
      </c>
      <c r="C38" s="4">
        <f>(C25/C19)*100</f>
        <v>35.855332983019551</v>
      </c>
      <c r="D38" s="4">
        <f t="shared" ref="D38:V38" si="31">(D25/D19)*100</f>
        <v>40.84651439604994</v>
      </c>
      <c r="E38" s="4">
        <f t="shared" si="31"/>
        <v>42.510241533726742</v>
      </c>
      <c r="F38" s="4">
        <f t="shared" si="31"/>
        <v>43.342105102565128</v>
      </c>
      <c r="G38" s="4">
        <f t="shared" si="31"/>
        <v>42.173183283509694</v>
      </c>
      <c r="H38" s="4">
        <f t="shared" si="31"/>
        <v>39.592700239220207</v>
      </c>
      <c r="I38" s="4">
        <f t="shared" si="31"/>
        <v>38.203010705086371</v>
      </c>
      <c r="J38" s="4">
        <f t="shared" si="31"/>
        <v>35.3474951436976</v>
      </c>
      <c r="K38" s="4">
        <f t="shared" si="31"/>
        <v>33.719251068502871</v>
      </c>
      <c r="L38" s="4">
        <f t="shared" si="31"/>
        <v>30.558601259066659</v>
      </c>
      <c r="M38" s="4">
        <f t="shared" si="31"/>
        <v>28.674991927663307</v>
      </c>
      <c r="N38" s="4">
        <f t="shared" si="31"/>
        <v>25.177332480682423</v>
      </c>
      <c r="O38" s="4">
        <f t="shared" si="31"/>
        <v>23.013328617249563</v>
      </c>
      <c r="P38" s="4">
        <f t="shared" si="31"/>
        <v>19.146034126526796</v>
      </c>
      <c r="Q38" s="4">
        <f t="shared" si="31"/>
        <v>16.671368489240646</v>
      </c>
      <c r="R38" s="4">
        <f t="shared" si="31"/>
        <v>12.396748640475632</v>
      </c>
      <c r="S38" s="4">
        <f t="shared" si="31"/>
        <v>9.5779490555189124</v>
      </c>
      <c r="T38" s="4">
        <f t="shared" si="31"/>
        <v>3.9882040186800269</v>
      </c>
      <c r="U38" s="4">
        <f t="shared" si="31"/>
        <v>17.8284699637681</v>
      </c>
      <c r="V38" s="4">
        <f t="shared" si="31"/>
        <v>42.635641705615448</v>
      </c>
    </row>
    <row r="39" spans="1:22" ht="37.5">
      <c r="A39" s="12" t="s">
        <v>49</v>
      </c>
      <c r="B39" s="4" t="s">
        <v>50</v>
      </c>
      <c r="C39" s="4">
        <f>(C37/$B$18)*100</f>
        <v>5.1056425822191054</v>
      </c>
      <c r="D39" s="4">
        <f t="shared" ref="D39:V39" si="32">(D37/$B$18)*100</f>
        <v>18.821740069984198</v>
      </c>
      <c r="E39" s="4">
        <f t="shared" si="32"/>
        <v>32.537837557749292</v>
      </c>
      <c r="F39" s="4">
        <f t="shared" si="32"/>
        <v>46.253935045514382</v>
      </c>
      <c r="G39" s="4">
        <f t="shared" si="32"/>
        <v>46.100680322431181</v>
      </c>
      <c r="H39" s="4">
        <f t="shared" si="32"/>
        <v>42.872324329091015</v>
      </c>
      <c r="I39" s="4">
        <f t="shared" si="32"/>
        <v>42.08160917770158</v>
      </c>
      <c r="J39" s="4">
        <f t="shared" si="32"/>
        <v>37.919965282623501</v>
      </c>
      <c r="K39" s="4">
        <f t="shared" si="32"/>
        <v>36.400731665480492</v>
      </c>
      <c r="L39" s="4">
        <f t="shared" si="32"/>
        <v>31.169623105039591</v>
      </c>
      <c r="M39" s="4">
        <f t="shared" si="32"/>
        <v>32.36860267095004</v>
      </c>
      <c r="N39" s="4">
        <f t="shared" si="32"/>
        <v>25.920640731475963</v>
      </c>
      <c r="O39" s="4">
        <f t="shared" si="32"/>
        <v>22.639108401881749</v>
      </c>
      <c r="P39" s="4">
        <f t="shared" si="32"/>
        <v>14.816197472973492</v>
      </c>
      <c r="Q39" s="4">
        <f t="shared" si="32"/>
        <v>10.454357792323627</v>
      </c>
      <c r="R39" s="4">
        <f t="shared" si="32"/>
        <v>1.0751632546376495</v>
      </c>
      <c r="S39" s="4">
        <f t="shared" si="32"/>
        <v>-4.5234384385724136</v>
      </c>
      <c r="T39" s="4">
        <f t="shared" si="32"/>
        <v>-12.504934962584366</v>
      </c>
      <c r="U39" s="4">
        <f t="shared" si="32"/>
        <v>5.7531166051061193</v>
      </c>
      <c r="V39" s="4">
        <f t="shared" si="32"/>
        <v>15.244881590115392</v>
      </c>
    </row>
    <row r="40" spans="1:22">
      <c r="A40" s="6" t="s">
        <v>51</v>
      </c>
      <c r="B40" s="4" t="s">
        <v>52</v>
      </c>
      <c r="C40" s="4">
        <f>(C37/C21)*100</f>
        <v>59.532449751320627</v>
      </c>
      <c r="D40" s="4">
        <f t="shared" ref="D40:V40" si="33">(D37/D21)*100</f>
        <v>109.73195605691404</v>
      </c>
      <c r="E40" s="4">
        <f t="shared" si="33"/>
        <v>126.46512482544519</v>
      </c>
      <c r="F40" s="4">
        <f t="shared" si="33"/>
        <v>134.83170920971077</v>
      </c>
      <c r="G40" s="4">
        <f t="shared" si="33"/>
        <v>134.38496675985357</v>
      </c>
      <c r="H40" s="4">
        <f t="shared" si="33"/>
        <v>113.61291376705735</v>
      </c>
      <c r="I40" s="4">
        <f t="shared" si="33"/>
        <v>111.51749548230261</v>
      </c>
      <c r="J40" s="4">
        <f t="shared" si="33"/>
        <v>91.353652186484098</v>
      </c>
      <c r="K40" s="4">
        <f t="shared" si="33"/>
        <v>87.693639883833214</v>
      </c>
      <c r="L40" s="4">
        <f t="shared" si="33"/>
        <v>68.264804250431197</v>
      </c>
      <c r="M40" s="4">
        <f t="shared" si="33"/>
        <v>70.89069757905186</v>
      </c>
      <c r="N40" s="4">
        <f t="shared" si="33"/>
        <v>51.608156488449467</v>
      </c>
      <c r="O40" s="4">
        <f t="shared" si="33"/>
        <v>45.07460526407889</v>
      </c>
      <c r="P40" s="4">
        <f t="shared" si="33"/>
        <v>26.817400979264278</v>
      </c>
      <c r="Q40" s="4">
        <f t="shared" si="33"/>
        <v>18.922446559506685</v>
      </c>
      <c r="R40" s="4">
        <f t="shared" si="33"/>
        <v>1.7691377764334455</v>
      </c>
      <c r="S40" s="4">
        <f t="shared" si="33"/>
        <v>-7.4431355299122455</v>
      </c>
      <c r="T40" s="4">
        <f t="shared" si="33"/>
        <v>-27.435154910940739</v>
      </c>
      <c r="U40" s="4">
        <f t="shared" si="33"/>
        <v>18.933042725218453</v>
      </c>
      <c r="V40" s="4">
        <f t="shared" si="33"/>
        <v>100.33935145009178</v>
      </c>
    </row>
    <row r="41" spans="1:22">
      <c r="A41" s="6" t="s">
        <v>56</v>
      </c>
      <c r="B41" s="4" t="s">
        <v>53</v>
      </c>
      <c r="C41" s="4">
        <f>(C37/C42)*100</f>
        <v>11.799614584870998</v>
      </c>
      <c r="D41" s="4">
        <f t="shared" ref="D41:V41" si="34">(D37/D42)*100</f>
        <v>23.468305724903924</v>
      </c>
      <c r="E41" s="4">
        <f t="shared" si="34"/>
        <v>27.778828821730816</v>
      </c>
      <c r="F41" s="4">
        <f t="shared" si="34"/>
        <v>30.022762268491952</v>
      </c>
      <c r="G41" s="4">
        <f t="shared" si="34"/>
        <v>28.530170602793518</v>
      </c>
      <c r="H41" s="4">
        <f t="shared" si="34"/>
        <v>24.775518010509387</v>
      </c>
      <c r="I41" s="4">
        <f t="shared" si="34"/>
        <v>23.17107750271742</v>
      </c>
      <c r="J41" s="4">
        <f t="shared" si="34"/>
        <v>19.492645880747208</v>
      </c>
      <c r="K41" s="4">
        <f t="shared" si="34"/>
        <v>17.817051985857844</v>
      </c>
      <c r="L41" s="4">
        <f t="shared" si="34"/>
        <v>14.240154479563321</v>
      </c>
      <c r="M41" s="4">
        <f t="shared" si="34"/>
        <v>14.071682975087448</v>
      </c>
      <c r="N41" s="4">
        <f t="shared" si="34"/>
        <v>10.515771121384569</v>
      </c>
      <c r="O41" s="4">
        <f t="shared" si="34"/>
        <v>8.7340192026634114</v>
      </c>
      <c r="P41" s="4">
        <f t="shared" si="34"/>
        <v>5.3331939014918204</v>
      </c>
      <c r="Q41" s="4">
        <f t="shared" si="34"/>
        <v>3.5762966626993986</v>
      </c>
      <c r="R41" s="4">
        <f t="shared" si="34"/>
        <v>0.34311204760774738</v>
      </c>
      <c r="S41" s="4">
        <f t="shared" si="34"/>
        <v>-1.3710330869408123</v>
      </c>
      <c r="T41" s="4">
        <f t="shared" si="34"/>
        <v>-4.7711341597540553</v>
      </c>
      <c r="U41" s="4">
        <f t="shared" si="34"/>
        <v>3.8213960373640083</v>
      </c>
      <c r="V41" s="4">
        <f t="shared" si="34"/>
        <v>28.439406623537995</v>
      </c>
    </row>
    <row r="42" spans="1:22" ht="37.5">
      <c r="A42" s="6" t="s">
        <v>55</v>
      </c>
      <c r="B42" s="13" t="s">
        <v>54</v>
      </c>
      <c r="C42" s="4">
        <f>C20+C21+C22+C24+C33</f>
        <v>424.387950015</v>
      </c>
      <c r="D42" s="4">
        <f t="shared" ref="D42:V42" si="35">D20+D21+D22+D24+D33</f>
        <v>786.60823993999986</v>
      </c>
      <c r="E42" s="4">
        <f t="shared" si="35"/>
        <v>1148.8285298649998</v>
      </c>
      <c r="F42" s="4">
        <f t="shared" si="35"/>
        <v>1511.0488197899999</v>
      </c>
      <c r="G42" s="4">
        <f t="shared" si="35"/>
        <v>1584.8326983300001</v>
      </c>
      <c r="H42" s="4">
        <f t="shared" si="35"/>
        <v>1697.2067217378003</v>
      </c>
      <c r="I42" s="4">
        <f t="shared" si="35"/>
        <v>1781.2569258658464</v>
      </c>
      <c r="J42" s="4">
        <f t="shared" si="35"/>
        <v>1907.9965940350555</v>
      </c>
      <c r="K42" s="4">
        <f t="shared" si="35"/>
        <v>2003.8016191366196</v>
      </c>
      <c r="L42" s="4">
        <f t="shared" si="35"/>
        <v>2146.8282795173932</v>
      </c>
      <c r="M42" s="4">
        <f t="shared" si="35"/>
        <v>2256.1001094093017</v>
      </c>
      <c r="N42" s="4">
        <f t="shared" si="35"/>
        <v>2417.6034392506144</v>
      </c>
      <c r="O42" s="4">
        <f t="shared" si="35"/>
        <v>2542.2931877450474</v>
      </c>
      <c r="P42" s="4">
        <f t="shared" si="35"/>
        <v>2724.769950222048</v>
      </c>
      <c r="Q42" s="4">
        <f t="shared" si="35"/>
        <v>2867.1094961600706</v>
      </c>
      <c r="R42" s="4">
        <f t="shared" si="35"/>
        <v>3073.3986973088022</v>
      </c>
      <c r="S42" s="4">
        <f t="shared" si="35"/>
        <v>3235.9455528904759</v>
      </c>
      <c r="T42" s="4">
        <f t="shared" si="35"/>
        <v>2570.6341093403626</v>
      </c>
      <c r="U42" s="4">
        <f t="shared" si="35"/>
        <v>1476.5956501541712</v>
      </c>
      <c r="V42" s="4">
        <f t="shared" si="35"/>
        <v>525.75569038806668</v>
      </c>
    </row>
    <row r="43" spans="1:22">
      <c r="A43" s="1" t="s">
        <v>57</v>
      </c>
    </row>
  </sheetData>
  <mergeCells count="2">
    <mergeCell ref="A4:B4"/>
    <mergeCell ref="A1:U1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s220584</dc:creator>
  <cp:lastModifiedBy>s220584</cp:lastModifiedBy>
  <dcterms:created xsi:type="dcterms:W3CDTF">2024-11-26T07:41:09Z</dcterms:created>
  <dcterms:modified xsi:type="dcterms:W3CDTF">2024-11-26T09:00:53Z</dcterms:modified>
</cp:coreProperties>
</file>